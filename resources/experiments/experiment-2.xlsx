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 lqr" sheetId="1" r:id="rId5"/>
    <sheet state="visible" name="voltage-pwm test" sheetId="2" r:id="rId6"/>
    <sheet state="visible" name="static thrust test" sheetId="3" r:id="rId7"/>
    <sheet state="visible" name="moment of inertia" sheetId="4" r:id="rId8"/>
  </sheets>
  <definedNames/>
  <calcPr/>
</workbook>
</file>

<file path=xl/sharedStrings.xml><?xml version="1.0" encoding="utf-8"?>
<sst xmlns="http://schemas.openxmlformats.org/spreadsheetml/2006/main" count="88" uniqueCount="77">
  <si>
    <t>matrix</t>
  </si>
  <si>
    <t>state vector</t>
  </si>
  <si>
    <t xml:space="preserve">A = </t>
  </si>
  <si>
    <t>trial</t>
  </si>
  <si>
    <t xml:space="preserve">x = </t>
  </si>
  <si>
    <t>angle x</t>
  </si>
  <si>
    <t>angle y</t>
  </si>
  <si>
    <t>period (s)</t>
  </si>
  <si>
    <t>5 oscillations</t>
  </si>
  <si>
    <t>d (m)</t>
  </si>
  <si>
    <t>angular velocity x</t>
  </si>
  <si>
    <t>angular velocity y</t>
  </si>
  <si>
    <t>output vector</t>
  </si>
  <si>
    <t>distance between strings</t>
  </si>
  <si>
    <t xml:space="preserve">B = </t>
  </si>
  <si>
    <t xml:space="preserve">u = </t>
  </si>
  <si>
    <t>tvc x signal</t>
  </si>
  <si>
    <t>tvc y signal</t>
  </si>
  <si>
    <t>L (m)</t>
  </si>
  <si>
    <t>string length</t>
  </si>
  <si>
    <t>M (kg)</t>
  </si>
  <si>
    <t>mass</t>
  </si>
  <si>
    <t>mass of drone</t>
  </si>
  <si>
    <t>g (ms^{-2})</t>
  </si>
  <si>
    <t>gravitational acceleration</t>
  </si>
  <si>
    <t>angle to servo signal</t>
  </si>
  <si>
    <t>I (kgm^2)</t>
  </si>
  <si>
    <t>moment of inertia</t>
  </si>
  <si>
    <t>signal of 0 to 100 maps to approx -0.18438 to +0.18438</t>
  </si>
  <si>
    <t>thrust</t>
  </si>
  <si>
    <t>signal scale</t>
  </si>
  <si>
    <t>length to pivot from COM</t>
  </si>
  <si>
    <t>offset</t>
  </si>
  <si>
    <t>voltage</t>
  </si>
  <si>
    <t>Izz</t>
  </si>
  <si>
    <t>period</t>
  </si>
  <si>
    <t>30 oscillations</t>
  </si>
  <si>
    <t>instantaneous center of zero velocity(ICZV)</t>
  </si>
  <si>
    <t>{-0.97848689f, 0.00000000f, -0.47991552f, 0.00000000f, -0.49236596f, 0.00000000f, -0.00000001f, 0.00000000f},
    {0.00000000f, 0.97848691f, 0.00000000f, 0.47991552f, 0.00000000f, 0.49236596f, 0.00000000f, -0.00000000f},</t>
  </si>
  <si>
    <t>x^2 = I / m</t>
  </si>
  <si>
    <t>x</t>
  </si>
  <si>
    <t>{-0.98981645f, 0.00000000f, -0.48434873f, 0.00000000f, -0.49844479f, 0.00000000f, 0.00000000f, 0.00000000f},
    {0.00000000f, 0.98981638f, 0.00000000f, 0.48434873f, 0.00000000f, 0.49844479f, 0.00000000f, 0.00000007f},</t>
  </si>
  <si>
    <t>using parallel axis theorem,</t>
  </si>
  <si>
    <t>I_p = ml_cm^2 + I_cm</t>
  </si>
  <si>
    <t>{-0.84665144f, 0.00000000f, -0.37851826f, 0.00000000f, -0.43861689f, 0.00000000f, 0.00000006f, 0.00000000f},
    {0.00000000f, 0.84665144f, 0.00000000f, 0.37851826f, 0.00000000f, 0.43861689f, 0.00000000f, -0.00000006f}</t>
  </si>
  <si>
    <t>I_p</t>
  </si>
  <si>
    <t>{-0.98015231f, 0.00000000f, -0.42999190f, 0.00000000f, -0.51065736f, 0.00000000f, -0.00000020f, 0.00000000f},
    {0.00000000f, 0.98015231f, 0.00000000f, 0.42999190f, 0.00000000f, 0.51065736f, 0.00000000f, 0.00000020f},</t>
  </si>
  <si>
    <t>{-0.91913767f, 0.00000000f, -0.40647923f, 0.00000000f, -0.47772543f, 0.00000000f, -0.00000002f, 0.00000000f},
    {0.00000000f, 0.91913778f, 0.00000000f, 0.40647923f, 0.00000000f, 0.47772543f, 0.00000000f, -0.00000009f},</t>
  </si>
  <si>
    <t>{-0.94879049f, 0.00000000f, -0.34675797f, 0.00000000f, -0.51955823f, 0.00000000f, -0.00000001f, 0.00000000f},
    {0.00000000f, 0.94879049f, 0.00000000f, 0.34675797f, 0.00000000f, 0.51955823f, 0.00000000f, 0.00000001f},</t>
  </si>
  <si>
    <t>{-0.99630602f, 0.00000000f, -0.26346390f, 0.00000000f, -0.33416229f, 0.00000000f, 0.00000003f, 0.00000000f},
    {0.00000000f, 0.97830696f, 0.00000000f, 0.26157150f, 0.00000000f, 0.33428134f, 0.00000000f, 0.00000028f},</t>
  </si>
  <si>
    <t>{-1.16433454f, 0.00000000f, -0.28021229f, 0.00000000f, -0.97117128f, 0.00000000f, -0.00000004f, 0.00000000f},
    {0.00000000f, 1.14827897f, 0.00000000f, 0.27862519f, 0.00000000f, 0.97146237f, 0.00000000f, 0.00000005f},</t>
  </si>
  <si>
    <t>{-0.99245092f, 0.00000000f, -0.38389855f, 0.00000000f, -0.44255425f, 0.00000000f, -0.00000001f, 0.00000000f},
    {0.00000000f, 0.99245095f, 0.00000000f, 0.38389855f, 0.00000000f, 0.44255425f, 0.00000000f, -0.00000001f},</t>
  </si>
  <si>
    <t>{-0.89011629f, 0.00000000f, -0.24549406f, 0.00000000f, -0.38789639f, 0.00000000f, 0.00000004f, 0.00000000f},
    {0.00000000f, 0.89011629f, 0.00000000f, 0.24549406f, 0.00000000f, 0.38789639f, 0.00000000f, -0.00000004f},</t>
  </si>
  <si>
    <t>{-0.94309287f, 0.00000000f, -0.25417908f, 0.00000000f, -0.41226395f, 0.00000000f, 0.00000010f, 0.00000000f},
    {0.00000000f, 0.94309287f, 0.00000000f, 0.25417908f, 0.00000000f, 0.41226395f, 0.00000000f, -0.00000010f},</t>
  </si>
  <si>
    <t>{-1.19430385f, 0.00000000f, -0.29388457f, 0.00000000f, -0.52818364f, 0.00000000f, -0.00000007f, 0.00000000f},
    {0.00000000f, 1.19430385f, 0.00000000f, 0.29388457f, 0.00000000f, 0.52818364f, 0.00000000f, 0.00000007f},</t>
  </si>
  <si>
    <t>{-1.00756897f, 0.00000000f, -0.26458590f, 0.00000000f, -0.44196187f, 0.00000000f, 0.00000016f, 0.00000000f},
    {0.00000000f, 1.00756897f, 0.00000000f, 0.26458590f, 0.00000000f, 0.44196187f, 0.00000000f, -0.00000016f},</t>
  </si>
  <si>
    <t>{-1.11706737f, 0.00000000f, -0.28190279f, 0.00000000f, -0.49248674f, 0.00000000f, -0.00000002f, 0.00000000f},
    {0.00000000f, 1.11706737f, 0.00000000f, 0.28190279f, 0.00000000f, 0.49248674f, 0.00000000f, 0.00000002f},</t>
  </si>
  <si>
    <t>{-1.06206521f, 0.00000000f, -0.27325656f, 0.00000000f, -0.46709465f, 0.00000000f, -0.00000022f, 0.00000000f},
    {0.00000000f, 1.06206521f, 0.00000000f, 0.27325656f, 0.00000000f, 0.46709465f, 0.00000000f, 0.00000022f},</t>
  </si>
  <si>
    <t>{-1.07635715f, 0.00000000f, -0.28315503f, 0.00000000f, -0.47202539f, 0.00000000f, 0.00000004f, 0.00000000f},
    {0.00000000f, 1.07635715f, 0.00000000f, 0.28315503f, 0.00000000f, 0.47202539f, 0.00000000f, -0.00000004f},</t>
  </si>
  <si>
    <t>{-1.37577556f, 0.00000000f, -0.33451061f, 0.00000000f, -0.34457343f, 0.00000000f, -0.00000016f, 0.00000000f},
    {0.00000000f, 1.37577556f, 0.00000000f, 0.33451061f, 0.00000000f, 0.34457343f, 0.00000000f, 0.00000016f},</t>
  </si>
  <si>
    <t>{-0.52581827f, 0.00000000f, -0.18841686f, 0.00000000f, -0.12771547f, 0.00000000f, -0.00000003f, 0.00000000f},
    {0.00000000f, 0.52581827f, 0.00000000f, 0.18841686f, 0.00000000f, 0.12771547f, 0.00000000f, 0.00000003f},</t>
  </si>
  <si>
    <t>{-0.43738053f, 0.00000000f, -0.17004238f, 0.00000000f, -0.10537835f, 0.00000000f, -0.00000023f, 0.00000000f},
    {0.00000000f, 0.43738053f, 0.00000000f, 0.17004238f, 0.00000000f, 0.10537835f, 0.00000000f, 0.00000023f},</t>
  </si>
  <si>
    <t>{-0.47925217f, 0.00000000f, -0.17888863f, 0.00000000f, -0.11594356f, 0.00000000f, -0.00000006f, 0.00000000f},
    {0.00000000f, 0.47925217f, 0.00000000f, 0.17888863f, 0.00000000f, 0.11594356f, 0.00000000f, 0.00000006f},</t>
  </si>
  <si>
    <t>{-0.53695955f, 0.00000000f, -0.19065344f, 0.00000000f, -0.13053508f, 0.00000000f, -0.00000007f, 0.00000000f},
    {0.00000000f, 0.53695955f, 0.00000000f, 0.19065344f, 0.00000000f, 0.13053508f, 0.00000000f, 0.00000007f},</t>
  </si>
  <si>
    <t xml:space="preserve">{0.54825855f, 0.00000000f, 0.00000000f, 0.17072822f, 0.00000000f, 0.00000000f, 0.13483997f, 0.00000000f, 0.00000000f, -0.00000001f, 0.00000000f, 0.00000000f},
    {0.00000000f, 0.54825855f, 0.00000000f, 0.00000000f, 0.17072822f, 0.00000000f, 0.00000000f, 0.13483997f, 0.00000000f, 0.00000000f, -0.00000001f, 0.00000000f},
    {0.00000000f, 0.00000000f, 4.77366665f, 0.00000000f, 0.00000000f, 2.41224655f, 0.00000000f, 0.00000000f, 2.23606798f, 0.00000000f, 0.00000000f, 0.00000013f},
</t>
  </si>
  <si>
    <t>thrust (kg)</t>
  </si>
  <si>
    <t>pwm=50%</t>
  </si>
  <si>
    <t>pwm=25%</t>
  </si>
  <si>
    <t>9,9</t>
  </si>
  <si>
    <t>pwm</t>
  </si>
  <si>
    <t>thrust(kg)</t>
  </si>
  <si>
    <t>thrust(g)</t>
  </si>
  <si>
    <t>in terms of pwm</t>
  </si>
  <si>
    <t>voltage:x</t>
  </si>
  <si>
    <t>thrust:y</t>
  </si>
  <si>
    <t>pwm:z</t>
  </si>
  <si>
    <t>z = -253.87369442 + (39.96421242)*x + (786.22590883)*y + (-1.47145261)*x^2 + (-52.53738736)*x*y + (-26.47336937)*y^2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</si>
</sst>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trike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1" numFmtId="0" xfId="0" applyFont="1"/>
    <xf borderId="0" fillId="0" fontId="3" numFmtId="0" xfId="0" applyFont="1"/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thrust vs. voltage(pwm=20)</a:t>
            </a:r>
          </a:p>
        </c:rich>
      </c:tx>
      <c:layout>
        <c:manualLayout>
          <c:xMode val="edge"/>
          <c:yMode val="edge"/>
          <c:x val="0.030952380952380953"/>
          <c:y val="0.05480769230769231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'voltage-pwm test'!$C$1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thrust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'voltage-pwm test'!$B$2:$B$11</c:f>
            </c:numRef>
          </c:xVal>
          <c:yVal>
            <c:numRef>
              <c:f>'voltage-pwm test'!$C$2:$C$11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198920"/>
        <c:axId val="1348840797"/>
      </c:scatterChart>
      <c:valAx>
        <c:axId val="14981989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8840797"/>
      </c:valAx>
      <c:valAx>
        <c:axId val="1348840797"/>
        <c:scaling>
          <c:orientation val="minMax"/>
          <c:min val="0.06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81989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thrust vs. voltage(pwm=40)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'voltage-pwm test'!$C$12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thrust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'voltage-pwm test'!$B$13:$B$21</c:f>
            </c:numRef>
          </c:xVal>
          <c:yVal>
            <c:numRef>
              <c:f>'voltage-pwm test'!$C$13:$C$21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952397"/>
        <c:axId val="1330237316"/>
      </c:scatterChart>
      <c:valAx>
        <c:axId val="9649523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0237316"/>
      </c:valAx>
      <c:valAx>
        <c:axId val="1330237316"/>
        <c:scaling>
          <c:orientation val="minMax"/>
          <c:min val="0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49523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thrust vs. voltage(pwm=60)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'voltage-pwm test'!$C$22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1"/>
            <c:marker>
              <c:symbol val="none"/>
            </c:marker>
          </c:dPt>
          <c:trendline>
            <c:name>Trendline for thrust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'voltage-pwm test'!$B$23:$B$31</c:f>
            </c:numRef>
          </c:xVal>
          <c:yVal>
            <c:numRef>
              <c:f>'voltage-pwm test'!$C$23:$C$31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1955930"/>
        <c:axId val="1253545742"/>
      </c:scatterChart>
      <c:valAx>
        <c:axId val="17619559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3545742"/>
      </c:valAx>
      <c:valAx>
        <c:axId val="1253545742"/>
        <c:scaling>
          <c:orientation val="minMax"/>
          <c:min val="0.3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19559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thrust vs. voltage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'voltage-pwm test'!$C$1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'voltage-pwm test'!$B$2:$B$42</c:f>
            </c:numRef>
          </c:xVal>
          <c:yVal>
            <c:numRef>
              <c:f>'voltage-pwm test'!$C$2:$C$42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864054"/>
        <c:axId val="652557649"/>
      </c:scatterChart>
      <c:valAx>
        <c:axId val="11878640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2557649"/>
      </c:valAx>
      <c:valAx>
        <c:axId val="6525576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thrust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78640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thrust vs. voltage(pwm=80)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'voltage-pwm test'!$C$32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1"/>
            <c:marker>
              <c:symbol val="none"/>
            </c:marker>
          </c:dPt>
          <c:trendline>
            <c:name>Trendline for thrust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'voltage-pwm test'!$B$33:$B$41</c:f>
            </c:numRef>
          </c:xVal>
          <c:yVal>
            <c:numRef>
              <c:f>'voltage-pwm test'!$C$33:$C$41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490700"/>
        <c:axId val="670350357"/>
      </c:scatterChart>
      <c:valAx>
        <c:axId val="15424907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0350357"/>
      </c:valAx>
      <c:valAx>
        <c:axId val="670350357"/>
        <c:scaling>
          <c:orientation val="minMax"/>
          <c:min val="0.4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24907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'static thrust test'!$B$2:$B$9</c:f>
            </c:numRef>
          </c:xVal>
          <c:yVal>
            <c:numRef>
              <c:f>'static thrust test'!$A$2:$A$9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9326621"/>
        <c:axId val="1338961772"/>
      </c:scatterChart>
      <c:valAx>
        <c:axId val="13193266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8961772"/>
      </c:valAx>
      <c:valAx>
        <c:axId val="1338961772"/>
        <c:scaling>
          <c:orientation val="minMax"/>
          <c:min val="0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93266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'static thrust test'!$B$14:$B$18</c:f>
            </c:numRef>
          </c:xVal>
          <c:yVal>
            <c:numRef>
              <c:f>'static thrust test'!$A$14:$A$18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8154808"/>
        <c:axId val="695057708"/>
      </c:scatterChart>
      <c:valAx>
        <c:axId val="20681548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5057708"/>
      </c:valAx>
      <c:valAx>
        <c:axId val="695057708"/>
        <c:scaling>
          <c:orientation val="minMax"/>
          <c:max val="0.1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81548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0</xdr:row>
      <xdr:rowOff>161925</xdr:rowOff>
    </xdr:from>
    <xdr:ext cx="3200400" cy="19812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19050</xdr:colOff>
      <xdr:row>10</xdr:row>
      <xdr:rowOff>152400</xdr:rowOff>
    </xdr:from>
    <xdr:ext cx="3200400" cy="19812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9525</xdr:colOff>
      <xdr:row>20</xdr:row>
      <xdr:rowOff>142875</xdr:rowOff>
    </xdr:from>
    <xdr:ext cx="3200400" cy="19812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171450</xdr:colOff>
      <xdr:row>42</xdr:row>
      <xdr:rowOff>190500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9525</xdr:colOff>
      <xdr:row>30</xdr:row>
      <xdr:rowOff>133350</xdr:rowOff>
    </xdr:from>
    <xdr:ext cx="3200400" cy="19812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0</xdr:row>
      <xdr:rowOff>9525</xdr:rowOff>
    </xdr:from>
    <xdr:ext cx="3457575" cy="21336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76200</xdr:colOff>
      <xdr:row>12</xdr:row>
      <xdr:rowOff>190500</xdr:rowOff>
    </xdr:from>
    <xdr:ext cx="3457575" cy="21336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H1" s="1" t="s">
        <v>1</v>
      </c>
    </row>
    <row r="2">
      <c r="A2" s="1" t="s">
        <v>2</v>
      </c>
      <c r="B2" s="1">
        <v>0.0</v>
      </c>
      <c r="C2" s="1">
        <v>0.0</v>
      </c>
      <c r="D2" s="1">
        <v>1.0</v>
      </c>
      <c r="E2" s="1">
        <v>0.0</v>
      </c>
      <c r="H2" s="1" t="s">
        <v>4</v>
      </c>
      <c r="I2" s="1" t="s">
        <v>5</v>
      </c>
    </row>
    <row r="3">
      <c r="B3" s="1">
        <v>0.0</v>
      </c>
      <c r="C3" s="1">
        <v>0.0</v>
      </c>
      <c r="D3" s="1">
        <v>0.0</v>
      </c>
      <c r="E3" s="1">
        <v>1.0</v>
      </c>
      <c r="I3" s="1" t="s">
        <v>6</v>
      </c>
    </row>
    <row r="4">
      <c r="B4" s="1">
        <v>0.0</v>
      </c>
      <c r="C4" s="1">
        <v>0.0</v>
      </c>
      <c r="D4" s="1">
        <v>0.0</v>
      </c>
      <c r="E4" s="1">
        <v>0.0</v>
      </c>
      <c r="I4" s="1" t="s">
        <v>10</v>
      </c>
    </row>
    <row r="5">
      <c r="B5" s="1">
        <v>0.0</v>
      </c>
      <c r="C5" s="1">
        <v>0.0</v>
      </c>
      <c r="D5" s="1">
        <v>0.0</v>
      </c>
      <c r="E5" s="1">
        <v>0.0</v>
      </c>
      <c r="I5" s="1" t="s">
        <v>11</v>
      </c>
    </row>
    <row r="8">
      <c r="A8" s="1" t="s">
        <v>0</v>
      </c>
      <c r="H8" s="1" t="s">
        <v>12</v>
      </c>
    </row>
    <row r="9">
      <c r="A9" s="1" t="s">
        <v>14</v>
      </c>
      <c r="B9" s="1">
        <v>0.0</v>
      </c>
      <c r="C9" s="1">
        <v>0.0</v>
      </c>
      <c r="H9" s="1" t="s">
        <v>15</v>
      </c>
      <c r="I9" s="1" t="s">
        <v>16</v>
      </c>
    </row>
    <row r="10">
      <c r="B10" s="1">
        <v>0.0</v>
      </c>
      <c r="C10" s="1">
        <v>0.0</v>
      </c>
      <c r="I10" s="1" t="s">
        <v>17</v>
      </c>
    </row>
    <row r="11">
      <c r="B11" s="1">
        <f>-B19*B20/B34</f>
        <v>-16.73579945</v>
      </c>
      <c r="C11" s="1">
        <v>0.0</v>
      </c>
    </row>
    <row r="12">
      <c r="B12" s="1">
        <v>0.0</v>
      </c>
      <c r="C12" s="1">
        <f>B19*B20/B34</f>
        <v>16.73579945</v>
      </c>
    </row>
    <row r="17">
      <c r="A17" s="1" t="s">
        <v>21</v>
      </c>
      <c r="B17" s="6">
        <f>'moment of inertia'!F3</f>
        <v>0.405</v>
      </c>
      <c r="F17" s="1" t="s">
        <v>25</v>
      </c>
    </row>
    <row r="18">
      <c r="A18" s="1" t="s">
        <v>27</v>
      </c>
      <c r="B18" s="6">
        <f>'moment of inertia'!F5</f>
        <v>0.01802468421</v>
      </c>
      <c r="F18" s="1" t="s">
        <v>28</v>
      </c>
      <c r="K18" s="6">
        <f>180/PI()*0.5</f>
        <v>28.64788976</v>
      </c>
    </row>
    <row r="19">
      <c r="A19" s="1" t="s">
        <v>29</v>
      </c>
      <c r="B19" s="1">
        <f>0.3 * 9.81</f>
        <v>2.943</v>
      </c>
      <c r="F19" s="1" t="s">
        <v>30</v>
      </c>
      <c r="G19" s="1">
        <f>100/(0.18438*2)</f>
        <v>271.1790867</v>
      </c>
    </row>
    <row r="20">
      <c r="A20" s="1" t="s">
        <v>31</v>
      </c>
      <c r="B20" s="1">
        <v>0.205</v>
      </c>
      <c r="F20" s="1" t="s">
        <v>32</v>
      </c>
      <c r="G20" s="1">
        <v>50.0</v>
      </c>
    </row>
    <row r="21">
      <c r="A21" s="1" t="s">
        <v>33</v>
      </c>
      <c r="B21" s="1">
        <f>'static thrust test'!B6</f>
        <v>10.8</v>
      </c>
    </row>
    <row r="28">
      <c r="A28" s="7"/>
    </row>
    <row r="29">
      <c r="A29" s="1" t="s">
        <v>37</v>
      </c>
      <c r="B29" s="1"/>
      <c r="E29" s="1" t="s">
        <v>38</v>
      </c>
    </row>
    <row r="30">
      <c r="A30" s="1" t="s">
        <v>39</v>
      </c>
    </row>
    <row r="31">
      <c r="A31" s="1" t="s">
        <v>40</v>
      </c>
      <c r="B31" s="6">
        <f>SQRT(B18/B17)</f>
        <v>0.2109630136</v>
      </c>
      <c r="E31" s="1" t="s">
        <v>41</v>
      </c>
    </row>
    <row r="32">
      <c r="A32" s="1" t="s">
        <v>42</v>
      </c>
    </row>
    <row r="33">
      <c r="A33" s="1" t="s">
        <v>43</v>
      </c>
      <c r="E33" s="1" t="s">
        <v>44</v>
      </c>
    </row>
    <row r="34">
      <c r="A34" s="1" t="s">
        <v>45</v>
      </c>
      <c r="B34" s="6">
        <f>B17*B31*B31+B18</f>
        <v>0.03604936842</v>
      </c>
    </row>
    <row r="35">
      <c r="E35" s="1" t="s">
        <v>46</v>
      </c>
    </row>
    <row r="37">
      <c r="E37" s="1" t="s">
        <v>47</v>
      </c>
    </row>
    <row r="39">
      <c r="E39" s="1" t="s">
        <v>48</v>
      </c>
    </row>
    <row r="41">
      <c r="E41" s="1" t="s">
        <v>49</v>
      </c>
    </row>
    <row r="43">
      <c r="E43" s="1" t="s">
        <v>50</v>
      </c>
    </row>
    <row r="45">
      <c r="E45" s="1" t="s">
        <v>51</v>
      </c>
    </row>
    <row r="47">
      <c r="E47" s="1" t="s">
        <v>52</v>
      </c>
    </row>
    <row r="49">
      <c r="E49" s="1" t="s">
        <v>53</v>
      </c>
    </row>
    <row r="51">
      <c r="E51" s="1" t="s">
        <v>54</v>
      </c>
    </row>
    <row r="53">
      <c r="E53" s="1" t="s">
        <v>53</v>
      </c>
    </row>
    <row r="55">
      <c r="E55" s="1" t="s">
        <v>55</v>
      </c>
    </row>
    <row r="57">
      <c r="E57" s="1" t="s">
        <v>56</v>
      </c>
    </row>
    <row r="59">
      <c r="E59" s="1" t="s">
        <v>57</v>
      </c>
    </row>
    <row r="61">
      <c r="E61" s="1" t="s">
        <v>58</v>
      </c>
    </row>
    <row r="63">
      <c r="E63" s="1" t="s">
        <v>59</v>
      </c>
    </row>
    <row r="65">
      <c r="E65" s="1" t="s">
        <v>60</v>
      </c>
    </row>
    <row r="67">
      <c r="E67" s="1" t="s">
        <v>61</v>
      </c>
    </row>
    <row r="69">
      <c r="E69" s="1" t="s">
        <v>62</v>
      </c>
    </row>
    <row r="71">
      <c r="E71" s="1" t="s">
        <v>63</v>
      </c>
    </row>
    <row r="73">
      <c r="E73" s="1" t="s">
        <v>64</v>
      </c>
      <c r="J7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69</v>
      </c>
      <c r="B1" s="1" t="s">
        <v>33</v>
      </c>
      <c r="C1" s="1" t="s">
        <v>70</v>
      </c>
      <c r="D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</row>
    <row r="2">
      <c r="A2" s="1">
        <v>25.0</v>
      </c>
      <c r="B2" s="1">
        <v>12.5</v>
      </c>
      <c r="C2" s="6">
        <f t="shared" ref="C2:C41" si="1">D2/1000</f>
        <v>0.084</v>
      </c>
      <c r="D2" s="1">
        <v>84.0</v>
      </c>
      <c r="K2" s="1">
        <v>12.5</v>
      </c>
      <c r="L2" s="6">
        <f t="shared" ref="L2:L41" si="2">D2/1000</f>
        <v>0.084</v>
      </c>
      <c r="M2" s="1">
        <v>25.0</v>
      </c>
    </row>
    <row r="3">
      <c r="A3" s="1">
        <v>25.0</v>
      </c>
      <c r="B3" s="1">
        <v>12.4</v>
      </c>
      <c r="C3" s="6">
        <f t="shared" si="1"/>
        <v>0.082</v>
      </c>
      <c r="D3" s="1">
        <v>82.0</v>
      </c>
      <c r="K3" s="1">
        <v>12.4</v>
      </c>
      <c r="L3" s="6">
        <f t="shared" si="2"/>
        <v>0.082</v>
      </c>
      <c r="M3" s="1">
        <v>25.0</v>
      </c>
    </row>
    <row r="4">
      <c r="A4" s="1">
        <v>25.0</v>
      </c>
      <c r="B4" s="1">
        <v>12.3</v>
      </c>
      <c r="C4" s="6">
        <f t="shared" si="1"/>
        <v>0.081</v>
      </c>
      <c r="D4" s="1">
        <v>81.0</v>
      </c>
      <c r="K4" s="1">
        <v>12.3</v>
      </c>
      <c r="L4" s="6">
        <f t="shared" si="2"/>
        <v>0.081</v>
      </c>
      <c r="M4" s="1">
        <v>25.0</v>
      </c>
    </row>
    <row r="5">
      <c r="A5" s="1">
        <v>25.0</v>
      </c>
      <c r="B5" s="1">
        <v>12.2</v>
      </c>
      <c r="C5" s="6">
        <f t="shared" si="1"/>
        <v>0.08</v>
      </c>
      <c r="D5" s="1">
        <v>80.0</v>
      </c>
      <c r="K5" s="1">
        <v>12.2</v>
      </c>
      <c r="L5" s="6">
        <f t="shared" si="2"/>
        <v>0.08</v>
      </c>
      <c r="M5" s="1">
        <v>25.0</v>
      </c>
    </row>
    <row r="6">
      <c r="A6" s="1">
        <v>25.0</v>
      </c>
      <c r="B6" s="1">
        <v>12.1</v>
      </c>
      <c r="C6" s="6">
        <f t="shared" si="1"/>
        <v>0.078</v>
      </c>
      <c r="D6" s="1">
        <v>78.0</v>
      </c>
      <c r="K6" s="1">
        <v>12.1</v>
      </c>
      <c r="L6" s="6">
        <f t="shared" si="2"/>
        <v>0.078</v>
      </c>
      <c r="M6" s="1">
        <v>25.0</v>
      </c>
    </row>
    <row r="7">
      <c r="A7" s="1">
        <v>25.0</v>
      </c>
      <c r="B7" s="1">
        <v>12.0</v>
      </c>
      <c r="C7" s="6">
        <f t="shared" si="1"/>
        <v>0.076</v>
      </c>
      <c r="D7" s="1">
        <v>76.0</v>
      </c>
      <c r="K7" s="1">
        <v>12.0</v>
      </c>
      <c r="L7" s="6">
        <f t="shared" si="2"/>
        <v>0.076</v>
      </c>
      <c r="M7" s="1">
        <v>25.0</v>
      </c>
    </row>
    <row r="8">
      <c r="A8" s="1">
        <v>25.0</v>
      </c>
      <c r="B8" s="1">
        <v>11.9</v>
      </c>
      <c r="C8" s="6">
        <f t="shared" si="1"/>
        <v>0.075</v>
      </c>
      <c r="D8" s="1">
        <v>75.0</v>
      </c>
      <c r="K8" s="1">
        <v>11.9</v>
      </c>
      <c r="L8" s="6">
        <f t="shared" si="2"/>
        <v>0.075</v>
      </c>
      <c r="M8" s="1">
        <v>25.0</v>
      </c>
    </row>
    <row r="9">
      <c r="A9" s="1">
        <v>25.0</v>
      </c>
      <c r="B9" s="1">
        <v>11.8</v>
      </c>
      <c r="C9" s="6">
        <f t="shared" si="1"/>
        <v>0.074</v>
      </c>
      <c r="D9" s="1">
        <v>74.0</v>
      </c>
      <c r="K9" s="1">
        <v>11.8</v>
      </c>
      <c r="L9" s="6">
        <f t="shared" si="2"/>
        <v>0.074</v>
      </c>
      <c r="M9" s="1">
        <v>25.0</v>
      </c>
    </row>
    <row r="10">
      <c r="A10" s="1">
        <v>25.0</v>
      </c>
      <c r="B10" s="1">
        <v>11.7</v>
      </c>
      <c r="C10" s="6">
        <f t="shared" si="1"/>
        <v>0.073</v>
      </c>
      <c r="D10" s="1">
        <v>73.0</v>
      </c>
      <c r="K10" s="1">
        <v>11.7</v>
      </c>
      <c r="L10" s="6">
        <f t="shared" si="2"/>
        <v>0.073</v>
      </c>
      <c r="M10" s="1">
        <v>25.0</v>
      </c>
    </row>
    <row r="11">
      <c r="A11" s="1">
        <v>25.0</v>
      </c>
      <c r="B11" s="1">
        <v>11.6</v>
      </c>
      <c r="C11" s="6">
        <f t="shared" si="1"/>
        <v>0.072</v>
      </c>
      <c r="D11" s="1">
        <v>72.0</v>
      </c>
      <c r="K11" s="1">
        <v>11.6</v>
      </c>
      <c r="L11" s="6">
        <f t="shared" si="2"/>
        <v>0.072</v>
      </c>
      <c r="M11" s="1">
        <v>25.0</v>
      </c>
    </row>
    <row r="12">
      <c r="A12" s="1">
        <v>50.0</v>
      </c>
      <c r="B12" s="1">
        <v>12.3</v>
      </c>
      <c r="C12" s="6">
        <f t="shared" si="1"/>
        <v>0.244</v>
      </c>
      <c r="D12" s="1">
        <v>244.0</v>
      </c>
      <c r="K12" s="1">
        <v>12.3</v>
      </c>
      <c r="L12" s="6">
        <f t="shared" si="2"/>
        <v>0.244</v>
      </c>
      <c r="M12" s="1">
        <v>50.0</v>
      </c>
    </row>
    <row r="13">
      <c r="A13" s="1">
        <v>50.0</v>
      </c>
      <c r="B13" s="1">
        <v>12.2</v>
      </c>
      <c r="C13" s="6">
        <f t="shared" si="1"/>
        <v>0.238</v>
      </c>
      <c r="D13" s="1">
        <v>238.0</v>
      </c>
      <c r="K13" s="1">
        <v>12.2</v>
      </c>
      <c r="L13" s="6">
        <f t="shared" si="2"/>
        <v>0.238</v>
      </c>
      <c r="M13" s="1">
        <v>50.0</v>
      </c>
    </row>
    <row r="14">
      <c r="A14" s="1">
        <v>50.0</v>
      </c>
      <c r="B14" s="1">
        <v>12.1</v>
      </c>
      <c r="C14" s="6">
        <f t="shared" si="1"/>
        <v>0.233</v>
      </c>
      <c r="D14" s="1">
        <v>233.0</v>
      </c>
      <c r="K14" s="1">
        <v>12.1</v>
      </c>
      <c r="L14" s="6">
        <f t="shared" si="2"/>
        <v>0.233</v>
      </c>
      <c r="M14" s="1">
        <v>50.0</v>
      </c>
    </row>
    <row r="15">
      <c r="A15" s="1">
        <v>50.0</v>
      </c>
      <c r="B15" s="1">
        <v>12.0</v>
      </c>
      <c r="C15" s="6">
        <f t="shared" si="1"/>
        <v>0.229</v>
      </c>
      <c r="D15" s="1">
        <v>229.0</v>
      </c>
      <c r="K15" s="1">
        <v>12.0</v>
      </c>
      <c r="L15" s="6">
        <f t="shared" si="2"/>
        <v>0.229</v>
      </c>
      <c r="M15" s="1">
        <v>50.0</v>
      </c>
    </row>
    <row r="16">
      <c r="A16" s="1">
        <v>50.0</v>
      </c>
      <c r="B16" s="1">
        <v>11.9</v>
      </c>
      <c r="C16" s="6">
        <f t="shared" si="1"/>
        <v>0.225</v>
      </c>
      <c r="D16" s="1">
        <v>225.0</v>
      </c>
      <c r="K16" s="1">
        <v>11.9</v>
      </c>
      <c r="L16" s="6">
        <f t="shared" si="2"/>
        <v>0.225</v>
      </c>
      <c r="M16" s="1">
        <v>50.0</v>
      </c>
    </row>
    <row r="17">
      <c r="A17" s="1">
        <v>50.0</v>
      </c>
      <c r="B17" s="1">
        <v>11.8</v>
      </c>
      <c r="C17" s="6">
        <f t="shared" si="1"/>
        <v>0.222</v>
      </c>
      <c r="D17" s="1">
        <v>222.0</v>
      </c>
      <c r="K17" s="1">
        <v>11.8</v>
      </c>
      <c r="L17" s="6">
        <f t="shared" si="2"/>
        <v>0.222</v>
      </c>
      <c r="M17" s="1">
        <v>50.0</v>
      </c>
    </row>
    <row r="18">
      <c r="A18" s="1">
        <v>50.0</v>
      </c>
      <c r="B18" s="1">
        <v>11.7</v>
      </c>
      <c r="C18" s="6">
        <f t="shared" si="1"/>
        <v>0.219</v>
      </c>
      <c r="D18" s="1">
        <v>219.0</v>
      </c>
      <c r="K18" s="1">
        <v>11.7</v>
      </c>
      <c r="L18" s="6">
        <f t="shared" si="2"/>
        <v>0.219</v>
      </c>
      <c r="M18" s="1">
        <v>50.0</v>
      </c>
    </row>
    <row r="19">
      <c r="A19" s="1">
        <v>50.0</v>
      </c>
      <c r="B19" s="1">
        <v>11.6</v>
      </c>
      <c r="C19" s="6">
        <f t="shared" si="1"/>
        <v>0.216</v>
      </c>
      <c r="D19" s="1">
        <v>216.0</v>
      </c>
      <c r="K19" s="1">
        <v>11.6</v>
      </c>
      <c r="L19" s="6">
        <f t="shared" si="2"/>
        <v>0.216</v>
      </c>
      <c r="M19" s="1">
        <v>50.0</v>
      </c>
    </row>
    <row r="20">
      <c r="A20" s="1">
        <v>50.0</v>
      </c>
      <c r="B20" s="1">
        <v>11.5</v>
      </c>
      <c r="C20" s="6">
        <f t="shared" si="1"/>
        <v>0.212</v>
      </c>
      <c r="D20" s="1">
        <v>212.0</v>
      </c>
      <c r="K20" s="1">
        <v>11.5</v>
      </c>
      <c r="L20" s="6">
        <f t="shared" si="2"/>
        <v>0.212</v>
      </c>
      <c r="M20" s="1">
        <v>50.0</v>
      </c>
    </row>
    <row r="21">
      <c r="A21" s="1">
        <v>50.0</v>
      </c>
      <c r="B21" s="1">
        <v>11.4</v>
      </c>
      <c r="C21" s="6">
        <f t="shared" si="1"/>
        <v>0.21</v>
      </c>
      <c r="D21" s="1">
        <v>210.0</v>
      </c>
      <c r="K21" s="1">
        <v>11.4</v>
      </c>
      <c r="L21" s="6">
        <f t="shared" si="2"/>
        <v>0.21</v>
      </c>
      <c r="M21" s="1">
        <v>50.0</v>
      </c>
    </row>
    <row r="22">
      <c r="A22" s="1">
        <v>75.0</v>
      </c>
      <c r="B22" s="1">
        <v>11.9</v>
      </c>
      <c r="C22" s="6">
        <f t="shared" si="1"/>
        <v>0.424</v>
      </c>
      <c r="D22" s="1">
        <v>424.0</v>
      </c>
      <c r="K22" s="1">
        <v>11.9</v>
      </c>
      <c r="L22" s="6">
        <f t="shared" si="2"/>
        <v>0.424</v>
      </c>
      <c r="M22" s="1">
        <v>75.0</v>
      </c>
    </row>
    <row r="23">
      <c r="A23" s="1">
        <v>75.0</v>
      </c>
      <c r="B23" s="1">
        <v>11.8</v>
      </c>
      <c r="C23" s="6">
        <f t="shared" si="1"/>
        <v>0.413</v>
      </c>
      <c r="D23" s="1">
        <v>413.0</v>
      </c>
      <c r="K23" s="1">
        <v>11.8</v>
      </c>
      <c r="L23" s="6">
        <f t="shared" si="2"/>
        <v>0.413</v>
      </c>
      <c r="M23" s="1">
        <v>75.0</v>
      </c>
    </row>
    <row r="24">
      <c r="A24" s="1">
        <v>75.0</v>
      </c>
      <c r="B24" s="1">
        <v>11.7</v>
      </c>
      <c r="C24" s="6">
        <f t="shared" si="1"/>
        <v>0.4</v>
      </c>
      <c r="D24" s="1">
        <v>400.0</v>
      </c>
      <c r="K24" s="1">
        <v>11.7</v>
      </c>
      <c r="L24" s="6">
        <f t="shared" si="2"/>
        <v>0.4</v>
      </c>
      <c r="M24" s="1">
        <v>75.0</v>
      </c>
    </row>
    <row r="25">
      <c r="A25" s="1">
        <v>75.0</v>
      </c>
      <c r="B25" s="1">
        <v>11.6</v>
      </c>
      <c r="C25" s="6">
        <f t="shared" si="1"/>
        <v>0.393</v>
      </c>
      <c r="D25" s="1">
        <v>393.0</v>
      </c>
      <c r="K25" s="1">
        <v>11.6</v>
      </c>
      <c r="L25" s="6">
        <f t="shared" si="2"/>
        <v>0.393</v>
      </c>
      <c r="M25" s="1">
        <v>75.0</v>
      </c>
    </row>
    <row r="26">
      <c r="A26" s="1">
        <v>75.0</v>
      </c>
      <c r="B26" s="1">
        <v>11.5</v>
      </c>
      <c r="C26" s="6">
        <f t="shared" si="1"/>
        <v>0.384</v>
      </c>
      <c r="D26" s="1">
        <v>384.0</v>
      </c>
      <c r="K26" s="1">
        <v>11.5</v>
      </c>
      <c r="L26" s="6">
        <f t="shared" si="2"/>
        <v>0.384</v>
      </c>
      <c r="M26" s="1">
        <v>75.0</v>
      </c>
    </row>
    <row r="27">
      <c r="A27" s="1">
        <v>75.0</v>
      </c>
      <c r="B27" s="1">
        <v>11.4</v>
      </c>
      <c r="C27" s="6">
        <f t="shared" si="1"/>
        <v>0.377</v>
      </c>
      <c r="D27" s="1">
        <v>377.0</v>
      </c>
      <c r="K27" s="1">
        <v>11.4</v>
      </c>
      <c r="L27" s="6">
        <f t="shared" si="2"/>
        <v>0.377</v>
      </c>
      <c r="M27" s="1">
        <v>75.0</v>
      </c>
    </row>
    <row r="28">
      <c r="A28" s="1">
        <v>75.0</v>
      </c>
      <c r="B28" s="1">
        <v>11.3</v>
      </c>
      <c r="C28" s="6">
        <f t="shared" si="1"/>
        <v>0.369</v>
      </c>
      <c r="D28" s="1">
        <v>369.0</v>
      </c>
      <c r="K28" s="1">
        <v>11.3</v>
      </c>
      <c r="L28" s="6">
        <f t="shared" si="2"/>
        <v>0.369</v>
      </c>
      <c r="M28" s="1">
        <v>75.0</v>
      </c>
    </row>
    <row r="29">
      <c r="A29" s="1">
        <v>75.0</v>
      </c>
      <c r="B29" s="1">
        <v>11.2</v>
      </c>
      <c r="C29" s="6">
        <f t="shared" si="1"/>
        <v>0.362</v>
      </c>
      <c r="D29" s="1">
        <v>362.0</v>
      </c>
      <c r="K29" s="1">
        <v>11.2</v>
      </c>
      <c r="L29" s="6">
        <f t="shared" si="2"/>
        <v>0.362</v>
      </c>
      <c r="M29" s="1">
        <v>75.0</v>
      </c>
    </row>
    <row r="30">
      <c r="A30" s="1">
        <v>75.0</v>
      </c>
      <c r="B30" s="1">
        <v>11.1</v>
      </c>
      <c r="C30" s="6">
        <f t="shared" si="1"/>
        <v>0.359</v>
      </c>
      <c r="D30" s="1">
        <v>359.0</v>
      </c>
      <c r="I30" s="8"/>
      <c r="K30" s="1">
        <v>11.1</v>
      </c>
      <c r="L30" s="6">
        <f t="shared" si="2"/>
        <v>0.359</v>
      </c>
      <c r="M30" s="1">
        <v>75.0</v>
      </c>
    </row>
    <row r="31">
      <c r="A31" s="1">
        <v>75.0</v>
      </c>
      <c r="B31" s="1">
        <v>11.0</v>
      </c>
      <c r="C31" s="6">
        <f t="shared" si="1"/>
        <v>0.353</v>
      </c>
      <c r="D31" s="1">
        <v>353.0</v>
      </c>
      <c r="K31" s="1">
        <v>11.0</v>
      </c>
      <c r="L31" s="6">
        <f t="shared" si="2"/>
        <v>0.353</v>
      </c>
      <c r="M31" s="1">
        <v>75.0</v>
      </c>
    </row>
    <row r="32">
      <c r="A32" s="1">
        <v>100.0</v>
      </c>
      <c r="B32" s="1">
        <v>11.6</v>
      </c>
      <c r="C32" s="6">
        <f t="shared" si="1"/>
        <v>0.542</v>
      </c>
      <c r="D32" s="1">
        <v>542.0</v>
      </c>
      <c r="K32" s="1">
        <v>11.6</v>
      </c>
      <c r="L32" s="6">
        <f t="shared" si="2"/>
        <v>0.542</v>
      </c>
      <c r="M32" s="1">
        <v>100.0</v>
      </c>
    </row>
    <row r="33">
      <c r="A33" s="1">
        <v>100.0</v>
      </c>
      <c r="B33" s="1">
        <v>11.5</v>
      </c>
      <c r="C33" s="6">
        <f t="shared" si="1"/>
        <v>0.526</v>
      </c>
      <c r="D33" s="1">
        <v>526.0</v>
      </c>
      <c r="K33" s="1">
        <v>11.5</v>
      </c>
      <c r="L33" s="6">
        <f t="shared" si="2"/>
        <v>0.526</v>
      </c>
      <c r="M33" s="1">
        <v>100.0</v>
      </c>
    </row>
    <row r="34">
      <c r="A34" s="1">
        <v>100.0</v>
      </c>
      <c r="B34" s="1">
        <v>11.4</v>
      </c>
      <c r="C34" s="6">
        <f t="shared" si="1"/>
        <v>0.512</v>
      </c>
      <c r="D34" s="1">
        <v>512.0</v>
      </c>
      <c r="K34" s="1">
        <v>11.4</v>
      </c>
      <c r="L34" s="6">
        <f t="shared" si="2"/>
        <v>0.512</v>
      </c>
      <c r="M34" s="1">
        <v>100.0</v>
      </c>
    </row>
    <row r="35">
      <c r="A35" s="1">
        <v>100.0</v>
      </c>
      <c r="B35" s="1">
        <v>11.3</v>
      </c>
      <c r="C35" s="6">
        <f t="shared" si="1"/>
        <v>0.498</v>
      </c>
      <c r="D35" s="1">
        <v>498.0</v>
      </c>
      <c r="K35" s="1">
        <v>11.3</v>
      </c>
      <c r="L35" s="6">
        <f t="shared" si="2"/>
        <v>0.498</v>
      </c>
      <c r="M35" s="1">
        <v>100.0</v>
      </c>
    </row>
    <row r="36">
      <c r="A36" s="1">
        <v>100.0</v>
      </c>
      <c r="B36" s="1">
        <v>11.2</v>
      </c>
      <c r="C36" s="6">
        <f t="shared" si="1"/>
        <v>0.479</v>
      </c>
      <c r="D36" s="1">
        <v>479.0</v>
      </c>
      <c r="K36" s="1">
        <v>11.2</v>
      </c>
      <c r="L36" s="6">
        <f t="shared" si="2"/>
        <v>0.479</v>
      </c>
      <c r="M36" s="1">
        <v>100.0</v>
      </c>
    </row>
    <row r="37">
      <c r="A37" s="1">
        <v>100.0</v>
      </c>
      <c r="B37" s="1">
        <v>11.1</v>
      </c>
      <c r="C37" s="6">
        <f t="shared" si="1"/>
        <v>0.468</v>
      </c>
      <c r="D37" s="1">
        <v>468.0</v>
      </c>
      <c r="K37" s="1">
        <v>11.1</v>
      </c>
      <c r="L37" s="6">
        <f t="shared" si="2"/>
        <v>0.468</v>
      </c>
      <c r="M37" s="1">
        <v>100.0</v>
      </c>
    </row>
    <row r="38">
      <c r="A38" s="1">
        <v>100.0</v>
      </c>
      <c r="B38" s="1">
        <v>11.0</v>
      </c>
      <c r="C38" s="6">
        <f t="shared" si="1"/>
        <v>0.463</v>
      </c>
      <c r="D38" s="1">
        <v>463.0</v>
      </c>
      <c r="K38" s="1">
        <v>11.0</v>
      </c>
      <c r="L38" s="6">
        <f t="shared" si="2"/>
        <v>0.463</v>
      </c>
      <c r="M38" s="1">
        <v>100.0</v>
      </c>
    </row>
    <row r="39">
      <c r="A39" s="1">
        <v>100.0</v>
      </c>
      <c r="B39" s="1">
        <v>10.9</v>
      </c>
      <c r="C39" s="6">
        <f t="shared" si="1"/>
        <v>0.456</v>
      </c>
      <c r="D39" s="1">
        <v>456.0</v>
      </c>
      <c r="K39" s="1">
        <v>10.9</v>
      </c>
      <c r="L39" s="6">
        <f t="shared" si="2"/>
        <v>0.456</v>
      </c>
      <c r="M39" s="1">
        <v>100.0</v>
      </c>
    </row>
    <row r="40">
      <c r="A40" s="1">
        <v>100.0</v>
      </c>
      <c r="B40" s="1">
        <v>10.8</v>
      </c>
      <c r="C40" s="6">
        <f t="shared" si="1"/>
        <v>0.448</v>
      </c>
      <c r="D40" s="1">
        <v>448.0</v>
      </c>
      <c r="K40" s="1">
        <v>10.8</v>
      </c>
      <c r="L40" s="6">
        <f t="shared" si="2"/>
        <v>0.448</v>
      </c>
      <c r="M40" s="1">
        <v>100.0</v>
      </c>
    </row>
    <row r="41">
      <c r="A41" s="1">
        <v>100.0</v>
      </c>
      <c r="B41" s="1">
        <v>10.7</v>
      </c>
      <c r="C41" s="6">
        <f t="shared" si="1"/>
        <v>0.446</v>
      </c>
      <c r="D41" s="1">
        <v>446.0</v>
      </c>
      <c r="K41" s="1">
        <v>10.7</v>
      </c>
      <c r="L41" s="6">
        <f t="shared" si="2"/>
        <v>0.446</v>
      </c>
      <c r="M41" s="1">
        <v>100.0</v>
      </c>
    </row>
    <row r="43">
      <c r="J43" s="1" t="s">
        <v>76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65</v>
      </c>
      <c r="B1" s="3" t="s">
        <v>33</v>
      </c>
      <c r="C1" s="2" t="s">
        <v>66</v>
      </c>
    </row>
    <row r="2">
      <c r="A2" s="5">
        <v>0.253</v>
      </c>
      <c r="B2" s="4">
        <v>11.3</v>
      </c>
      <c r="C2" s="3"/>
    </row>
    <row r="3">
      <c r="A3" s="5">
        <v>0.241</v>
      </c>
      <c r="B3" s="4">
        <v>11.1</v>
      </c>
      <c r="C3" s="3"/>
    </row>
    <row r="4">
      <c r="A4" s="5">
        <v>0.23</v>
      </c>
      <c r="B4" s="4">
        <v>11.0</v>
      </c>
      <c r="C4" s="3"/>
    </row>
    <row r="5">
      <c r="A5" s="5">
        <v>0.23</v>
      </c>
      <c r="B5" s="4">
        <v>10.9</v>
      </c>
      <c r="C5" s="3"/>
    </row>
    <row r="6">
      <c r="A6" s="5">
        <v>0.225</v>
      </c>
      <c r="B6" s="4">
        <v>10.8</v>
      </c>
      <c r="C6" s="3"/>
    </row>
    <row r="7">
      <c r="A7" s="5">
        <v>0.22</v>
      </c>
      <c r="B7" s="4">
        <v>10.7</v>
      </c>
      <c r="C7" s="3"/>
    </row>
    <row r="8">
      <c r="A8" s="5">
        <v>0.21</v>
      </c>
      <c r="B8" s="4">
        <v>10.6</v>
      </c>
      <c r="C8" s="3"/>
    </row>
    <row r="9">
      <c r="A9" s="5">
        <v>0.207</v>
      </c>
      <c r="B9" s="4">
        <v>10.5</v>
      </c>
      <c r="C9" s="3"/>
    </row>
    <row r="14">
      <c r="A14" s="1">
        <v>0.11</v>
      </c>
      <c r="B14" s="1">
        <v>12.2</v>
      </c>
      <c r="C14" s="1" t="s">
        <v>67</v>
      </c>
    </row>
    <row r="15">
      <c r="A15" s="1">
        <v>0.109</v>
      </c>
      <c r="B15" s="1">
        <v>12.1</v>
      </c>
    </row>
    <row r="16">
      <c r="A16" s="1">
        <v>0.105</v>
      </c>
      <c r="B16" s="1">
        <v>12.0</v>
      </c>
    </row>
    <row r="17">
      <c r="A17" s="1">
        <v>0.1</v>
      </c>
      <c r="B17" s="1">
        <v>11.9</v>
      </c>
    </row>
    <row r="18">
      <c r="A18" s="1">
        <v>0.095</v>
      </c>
      <c r="B18" s="1">
        <v>11.8</v>
      </c>
    </row>
    <row r="27">
      <c r="A27" s="1">
        <v>0.407</v>
      </c>
      <c r="B27" s="1" t="s">
        <v>68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2" t="s">
        <v>7</v>
      </c>
      <c r="C1" s="2" t="s">
        <v>8</v>
      </c>
      <c r="E1" s="3" t="s">
        <v>9</v>
      </c>
      <c r="F1" s="4">
        <v>0.14</v>
      </c>
      <c r="H1" s="1" t="s">
        <v>13</v>
      </c>
    </row>
    <row r="2">
      <c r="A2" s="4">
        <v>1.0</v>
      </c>
      <c r="B2" s="4">
        <f t="shared" ref="B2:B6" si="1">C2/5</f>
        <v>7.22</v>
      </c>
      <c r="C2" s="5">
        <v>36.1</v>
      </c>
      <c r="E2" s="3" t="s">
        <v>18</v>
      </c>
      <c r="F2" s="5">
        <v>1.42</v>
      </c>
      <c r="H2" s="1" t="s">
        <v>19</v>
      </c>
    </row>
    <row r="3">
      <c r="A3" s="4">
        <v>2.0</v>
      </c>
      <c r="B3" s="4">
        <f t="shared" si="1"/>
        <v>7.144</v>
      </c>
      <c r="C3" s="5">
        <v>35.72</v>
      </c>
      <c r="E3" s="3" t="s">
        <v>20</v>
      </c>
      <c r="F3" s="5">
        <v>0.405</v>
      </c>
      <c r="H3" s="1" t="s">
        <v>22</v>
      </c>
    </row>
    <row r="4">
      <c r="A4" s="4">
        <v>3.0</v>
      </c>
      <c r="B4" s="4">
        <f t="shared" si="1"/>
        <v>7.224</v>
      </c>
      <c r="C4" s="5">
        <v>36.12</v>
      </c>
      <c r="E4" s="2" t="s">
        <v>23</v>
      </c>
      <c r="F4" s="4">
        <v>9.81</v>
      </c>
      <c r="H4" s="1" t="s">
        <v>24</v>
      </c>
    </row>
    <row r="5">
      <c r="A5" s="4">
        <v>4.0</v>
      </c>
      <c r="B5" s="4">
        <f t="shared" si="1"/>
        <v>7.2</v>
      </c>
      <c r="C5" s="5">
        <v>36.0</v>
      </c>
      <c r="E5" s="2" t="s">
        <v>26</v>
      </c>
      <c r="F5" s="4">
        <f>(F3*F4*F1*F1*B7*B7)/(16*PI()*PI()*F2)</f>
        <v>0.01802468421</v>
      </c>
      <c r="H5" s="1" t="s">
        <v>27</v>
      </c>
    </row>
    <row r="6">
      <c r="A6" s="4">
        <v>5.0</v>
      </c>
      <c r="B6" s="4">
        <f t="shared" si="1"/>
        <v>7.234</v>
      </c>
      <c r="C6" s="5">
        <v>36.17</v>
      </c>
    </row>
    <row r="7">
      <c r="A7" s="3"/>
      <c r="B7" s="4">
        <f>AVERAGE(B2:B6)</f>
        <v>7.2044</v>
      </c>
      <c r="C7" s="3"/>
    </row>
    <row r="8">
      <c r="C8" s="3"/>
    </row>
    <row r="9">
      <c r="C9" s="3"/>
    </row>
    <row r="10">
      <c r="C10" s="3"/>
    </row>
    <row r="11">
      <c r="C11" s="3"/>
    </row>
    <row r="12">
      <c r="A12" s="1" t="s">
        <v>34</v>
      </c>
      <c r="C12" s="3"/>
    </row>
    <row r="13">
      <c r="A13" s="1" t="s">
        <v>3</v>
      </c>
      <c r="B13" s="1" t="s">
        <v>35</v>
      </c>
      <c r="C13" s="1" t="s">
        <v>36</v>
      </c>
      <c r="E13" s="3" t="s">
        <v>9</v>
      </c>
      <c r="F13" s="5">
        <v>0.35</v>
      </c>
      <c r="H13" s="1"/>
    </row>
    <row r="14">
      <c r="A14" s="1">
        <v>1.0</v>
      </c>
      <c r="B14" s="6">
        <f t="shared" ref="B14:B18" si="2">C14/30</f>
        <v>0.464</v>
      </c>
      <c r="C14" s="1">
        <v>13.92</v>
      </c>
      <c r="E14" s="3" t="s">
        <v>18</v>
      </c>
      <c r="F14" s="5">
        <v>0.6</v>
      </c>
    </row>
    <row r="15">
      <c r="A15" s="1">
        <v>2.0</v>
      </c>
      <c r="B15" s="6">
        <f t="shared" si="2"/>
        <v>0.469</v>
      </c>
      <c r="C15" s="1">
        <v>14.07</v>
      </c>
      <c r="E15" s="3" t="s">
        <v>20</v>
      </c>
      <c r="F15" s="5">
        <v>0.405</v>
      </c>
    </row>
    <row r="16">
      <c r="A16" s="1">
        <v>3.0</v>
      </c>
      <c r="B16" s="6">
        <f t="shared" si="2"/>
        <v>0.463</v>
      </c>
      <c r="C16" s="1">
        <v>13.89</v>
      </c>
      <c r="E16" s="2" t="s">
        <v>23</v>
      </c>
      <c r="F16" s="4">
        <v>9.81</v>
      </c>
    </row>
    <row r="17">
      <c r="A17" s="1">
        <v>4.0</v>
      </c>
      <c r="B17" s="6">
        <f t="shared" si="2"/>
        <v>0.4683333333</v>
      </c>
      <c r="C17" s="1">
        <v>14.05</v>
      </c>
      <c r="E17" s="2" t="s">
        <v>26</v>
      </c>
      <c r="F17" s="4">
        <f>(F15*F16*F13*F13*B19*B19)/(16*PI()*PI()*F14)</f>
        <v>0.001110377132</v>
      </c>
    </row>
    <row r="18">
      <c r="A18" s="1">
        <v>5.0</v>
      </c>
      <c r="B18" s="6">
        <f t="shared" si="2"/>
        <v>0.4603333333</v>
      </c>
      <c r="C18" s="1">
        <v>13.81</v>
      </c>
    </row>
    <row r="19">
      <c r="B19" s="6">
        <f>AVERAGE(B14:B18)</f>
        <v>0.4649333333</v>
      </c>
    </row>
  </sheetData>
  <drawing r:id="rId1"/>
</worksheet>
</file>